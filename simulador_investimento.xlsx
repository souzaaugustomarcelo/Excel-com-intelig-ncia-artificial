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Documents\"/>
    </mc:Choice>
  </mc:AlternateContent>
  <xr:revisionPtr revIDLastSave="0" documentId="8_{7EBF2677-1CDD-4AC9-99C4-8C58552C5970}" xr6:coauthVersionLast="47" xr6:coauthVersionMax="47" xr10:uidLastSave="{00000000-0000-0000-0000-000000000000}"/>
  <bookViews>
    <workbookView xWindow="-120" yWindow="-120" windowWidth="38640" windowHeight="15840" tabRatio="625" xr2:uid="{57FB2A27-B990-4938-88F7-848D391A88C7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dimento_carteira">Planilha1!$D$11</definedName>
    <definedName name="salario">Planilha1!$D$10</definedName>
    <definedName name="sugestao_investimento">Planilha1!$D$12</definedName>
    <definedName name="taxa_mensal">Planilha1!$D$17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2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8" i="1"/>
  <c r="D19" i="1" s="1"/>
  <c r="D12" i="1"/>
  <c r="C29" i="1" s="1"/>
  <c r="C26" i="1"/>
  <c r="D26" i="1" s="1"/>
  <c r="C25" i="1"/>
  <c r="D25" i="1" s="1"/>
  <c r="C24" i="1"/>
  <c r="D24" i="1" s="1"/>
  <c r="C23" i="1"/>
  <c r="D23" i="1" s="1"/>
  <c r="C22" i="1"/>
  <c r="D22" i="1" s="1"/>
  <c r="D33" i="1" l="1"/>
  <c r="D36" i="1"/>
  <c r="D35" i="1"/>
  <c r="D32" i="1"/>
  <c r="D34" i="1"/>
  <c r="D37" i="1"/>
  <c r="D38" i="1" l="1"/>
</calcChain>
</file>

<file path=xl/sharedStrings.xml><?xml version="1.0" encoding="utf-8"?>
<sst xmlns="http://schemas.openxmlformats.org/spreadsheetml/2006/main" count="72" uniqueCount="35">
  <si>
    <t>Quanto investir por mês?</t>
  </si>
  <si>
    <t>Para quantos anos?</t>
  </si>
  <si>
    <t>Taxa de recebimento mensal?</t>
  </si>
  <si>
    <t>Dividendos mensais?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</si>
  <si>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</si>
  <si>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</si>
  <si>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</si>
  <si>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</si>
  <si>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</si>
  <si>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</si>
  <si>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</si>
  <si>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</si>
  <si>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Configurações</t>
  </si>
  <si>
    <t>Salário</t>
  </si>
  <si>
    <t>Rendimento carteira</t>
  </si>
  <si>
    <t>Dividendo</t>
  </si>
  <si>
    <t>Conservador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</si>
  <si>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</si>
  <si>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</si>
  <si>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</si>
  <si>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</si>
  <si>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</si>
  <si>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</si>
  <si>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</si>
  <si>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</si>
  <si>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</si>
  <si>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</si>
  <si>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</si>
  <si>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</si>
  <si>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</si>
  <si>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</si>
  <si>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</si>
  <si>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Moderado-TIJOLO</t>
  </si>
  <si>
    <t>Sugestão de investimentos (30%)</t>
  </si>
  <si>
    <t>PATRIMÔNIO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</si>
</sst>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Segoe UI"/>
      <family val="2"/>
    </font>
    <font>
      <b/>
      <sz val="20"/>
      <color theme="0"/>
      <name val="Segoe UI"/>
      <family val="2"/>
    </font>
    <font>
      <b/>
      <sz val="14"/>
      <color theme="0"/>
      <name val="Segoe UI"/>
      <family val="2"/>
    </font>
    <font>
      <b/>
      <sz val="16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69020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 style="medium">
        <color indexed="64"/>
      </left>
      <right/>
      <top style="thin">
        <color rgb="FFC0C0C0"/>
      </top>
      <bottom style="medium">
        <color indexed="64"/>
      </bottom>
      <diagonal/>
    </border>
    <border>
      <left style="medium">
        <color indexed="64"/>
      </left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medium">
        <color indexed="64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indexed="64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medium">
        <color indexed="64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 style="thin">
        <color rgb="FFC0C0C0"/>
      </bottom>
      <diagonal/>
    </border>
    <border>
      <left/>
      <right/>
      <top style="medium">
        <color indexed="64"/>
      </top>
      <bottom style="thin">
        <color rgb="FFC0C0C0"/>
      </bottom>
      <diagonal/>
    </border>
    <border>
      <left/>
      <right style="medium">
        <color indexed="64"/>
      </right>
      <top style="medium">
        <color indexed="64"/>
      </top>
      <bottom style="thin">
        <color rgb="FFC0C0C0"/>
      </bottom>
      <diagonal/>
    </border>
    <border>
      <left/>
      <right/>
      <top style="thin">
        <color rgb="FFC0C0C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0" fillId="3" borderId="0" xfId="0" applyFill="1"/>
    <xf numFmtId="1" fontId="3" fillId="4" borderId="3" xfId="1" applyNumberFormat="1" applyFont="1" applyFill="1" applyBorder="1" applyAlignment="1">
      <alignment horizontal="center" vertical="center"/>
    </xf>
    <xf numFmtId="10" fontId="3" fillId="4" borderId="3" xfId="0" applyNumberFormat="1" applyFont="1" applyFill="1" applyBorder="1" applyAlignment="1">
      <alignment horizontal="center" vertical="center"/>
    </xf>
    <xf numFmtId="8" fontId="3" fillId="3" borderId="3" xfId="0" applyNumberFormat="1" applyFont="1" applyFill="1" applyBorder="1" applyAlignment="1">
      <alignment horizontal="center" vertical="center"/>
    </xf>
    <xf numFmtId="8" fontId="3" fillId="3" borderId="6" xfId="0" applyNumberFormat="1" applyFont="1" applyFill="1" applyBorder="1" applyAlignment="1">
      <alignment horizontal="center" vertical="center"/>
    </xf>
    <xf numFmtId="8" fontId="0" fillId="3" borderId="2" xfId="0" applyNumberFormat="1" applyFill="1" applyBorder="1" applyAlignment="1">
      <alignment horizontal="center" vertical="center"/>
    </xf>
    <xf numFmtId="164" fontId="3" fillId="4" borderId="3" xfId="1" applyNumberFormat="1" applyFont="1" applyFill="1" applyBorder="1" applyAlignment="1">
      <alignment horizontal="center" vertical="center"/>
    </xf>
    <xf numFmtId="8" fontId="0" fillId="3" borderId="3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 vertical="center"/>
    </xf>
    <xf numFmtId="8" fontId="0" fillId="3" borderId="6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 indent="2"/>
    </xf>
    <xf numFmtId="0" fontId="5" fillId="3" borderId="4" xfId="0" applyFont="1" applyFill="1" applyBorder="1" applyAlignment="1">
      <alignment horizontal="left" vertical="center" indent="2"/>
    </xf>
    <xf numFmtId="164" fontId="7" fillId="0" borderId="3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 indent="2"/>
    </xf>
    <xf numFmtId="0" fontId="2" fillId="2" borderId="0" xfId="3" applyBorder="1" applyAlignment="1">
      <alignment horizontal="left" vertical="center" indent="2"/>
    </xf>
    <xf numFmtId="0" fontId="2" fillId="2" borderId="0" xfId="3"/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/>
    <xf numFmtId="0" fontId="0" fillId="3" borderId="0" xfId="0" applyFill="1" applyAlignment="1">
      <alignment vertical="center"/>
    </xf>
    <xf numFmtId="0" fontId="0" fillId="0" borderId="17" xfId="0" applyBorder="1"/>
    <xf numFmtId="0" fontId="0" fillId="0" borderId="0" xfId="0" applyBorder="1"/>
    <xf numFmtId="9" fontId="0" fillId="0" borderId="17" xfId="0" applyNumberFormat="1" applyBorder="1" applyAlignment="1">
      <alignment horizontal="center" vertical="center"/>
    </xf>
    <xf numFmtId="9" fontId="2" fillId="2" borderId="0" xfId="2" applyFont="1" applyFill="1"/>
    <xf numFmtId="0" fontId="0" fillId="3" borderId="0" xfId="0" applyFill="1" applyAlignment="1">
      <alignment horizontal="left" indent="2"/>
    </xf>
    <xf numFmtId="0" fontId="0" fillId="0" borderId="0" xfId="0" applyAlignment="1">
      <alignment horizontal="left" indent="2"/>
    </xf>
    <xf numFmtId="0" fontId="8" fillId="5" borderId="9" xfId="0" applyFont="1" applyFill="1" applyBorder="1" applyAlignment="1">
      <alignment vertical="center"/>
    </xf>
    <xf numFmtId="0" fontId="9" fillId="5" borderId="10" xfId="0" applyFont="1" applyFill="1" applyBorder="1" applyAlignment="1">
      <alignment vertical="center"/>
    </xf>
    <xf numFmtId="0" fontId="10" fillId="5" borderId="15" xfId="0" applyFont="1" applyFill="1" applyBorder="1" applyAlignment="1">
      <alignment horizontal="center" vertical="center"/>
    </xf>
    <xf numFmtId="0" fontId="2" fillId="2" borderId="0" xfId="3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8" fillId="6" borderId="9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 vertical="center" indent="2"/>
    </xf>
    <xf numFmtId="0" fontId="5" fillId="0" borderId="4" xfId="0" applyFont="1" applyBorder="1" applyAlignment="1">
      <alignment horizontal="left" vertical="center" indent="2"/>
    </xf>
    <xf numFmtId="0" fontId="5" fillId="0" borderId="5" xfId="0" applyFont="1" applyBorder="1" applyAlignment="1">
      <alignment horizontal="left" vertical="center" indent="2"/>
    </xf>
    <xf numFmtId="0" fontId="8" fillId="5" borderId="13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 indent="2"/>
    </xf>
    <xf numFmtId="0" fontId="5" fillId="4" borderId="12" xfId="0" applyFont="1" applyFill="1" applyBorder="1" applyAlignment="1">
      <alignment horizontal="left" vertical="center" indent="2"/>
    </xf>
    <xf numFmtId="0" fontId="6" fillId="3" borderId="8" xfId="0" applyFont="1" applyFill="1" applyBorder="1" applyAlignment="1">
      <alignment horizontal="left" vertical="center" indent="2"/>
    </xf>
    <xf numFmtId="0" fontId="6" fillId="3" borderId="12" xfId="0" applyFont="1" applyFill="1" applyBorder="1" applyAlignment="1">
      <alignment horizontal="left" vertical="center" indent="2"/>
    </xf>
    <xf numFmtId="0" fontId="6" fillId="3" borderId="7" xfId="0" applyFont="1" applyFill="1" applyBorder="1" applyAlignment="1">
      <alignment horizontal="left" vertical="center" indent="2"/>
    </xf>
    <xf numFmtId="0" fontId="6" fillId="3" borderId="16" xfId="0" applyFont="1" applyFill="1" applyBorder="1" applyAlignment="1">
      <alignment horizontal="left" vertical="center" indent="2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D1DE2A"/>
      <color rgb="FFFDFD55"/>
      <color rgb="FFC0C0C0"/>
      <color rgb="FF069020"/>
      <color rgb="FF08C42C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4-49DB-BD86-6027FC5564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44-49DB-BD86-6027FC5564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44-49DB-BD86-6027FC5564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44-49DB-BD86-6027FC5564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44-49DB-BD86-6027FC5564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44-49DB-BD86-6027FC5564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Planilha1!$C$32:$C$37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4-4690-8BE3-EA6E86AE6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333375</xdr:colOff>
      <xdr:row>0</xdr:row>
      <xdr:rowOff>180976</xdr:rowOff>
    </xdr:from>
    <xdr:to>
      <xdr:col>4</xdr:col>
      <xdr:colOff>47625</xdr:colOff>
      <xdr:row>6</xdr:row>
      <xdr:rowOff>142875</xdr:rowOff>
    </xdr:to>
    <xdr:pic>
      <xdr:nvPicPr>
        <xdr:cNvPr id="3" name="Imagem 2" descr="Gráfico e dados do mercado de ações financeiras desfocados">
          <a:extLst>
            <a:ext uri="{FF2B5EF4-FFF2-40B4-BE49-F238E27FC236}">
              <a16:creationId xmlns:a16="http://schemas.microsoft.com/office/drawing/2014/main" id="{4BA2A927-65B1-4A4F-A880-6F695F8D4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80976"/>
          <a:ext cx="5772150" cy="1104899"/>
        </a:xfrm>
        <a:prstGeom prst="rect">
          <a:avLst/>
        </a:prstGeom>
      </xdr:spPr>
    </xdr:pic>
    <xdr:clientData/>
  </xdr:twoCellAnchor>
  <xdr:twoCellAnchor>
    <xdr:from>
      <xdr:col>0</xdr:col>
      <xdr:colOff>328084</xdr:colOff>
      <xdr:row>39</xdr:row>
      <xdr:rowOff>35983</xdr:rowOff>
    </xdr:from>
    <xdr:to>
      <xdr:col>3</xdr:col>
      <xdr:colOff>1365250</xdr:colOff>
      <xdr:row>53</xdr:row>
      <xdr:rowOff>112183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F993B8-1CF3-4F85-9DF5-58D2F4F8E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FEAA-C8E8-4933-8D5A-72971BFF83D7}">
  <dimension ref="A8:XFC63"/>
  <sheetViews>
    <sheetView showGridLines="0" tabSelected="1" zoomScaleNormal="100" workbookViewId="0">
      <selection activeCell="C28" sqref="C28:D28"/>
    </sheetView>
  </sheetViews>
  <sheetFormatPr defaultColWidth="0" defaultRowHeight="15" x14ac:dyDescent="0.25"/>
  <cols>
    <col min="1" max="1" width="5.28515625" customWidth="1"/>
    <col min="2" max="2" width="45.5703125" customWidth="1"/>
    <col min="3" max="3" width="19.140625" bestFit="1" customWidth="1"/>
    <col min="4" max="4" width="20.85546875" bestFit="1" customWidth="1"/>
    <col min="5" max="5" width="5.85546875" customWidth="1"/>
    <col min="10" max="16383" width="9.140625" hidden="1"/>
    <col min="16384" max="16384" width="4.28515625" customWidth="1"/>
  </cols>
  <sheetData>
    <row r="8" spans="2:4" ht="15.75" thickBot="1" x14ac:dyDescent="0.3"/>
    <row r="9" spans="2:4" ht="30.75" x14ac:dyDescent="0.25">
      <c r="B9" s="36" t="s">
        <v>12</v>
      </c>
      <c r="C9" s="37"/>
      <c r="D9" s="38"/>
    </row>
    <row r="10" spans="2:4" ht="16.5" x14ac:dyDescent="0.25">
      <c r="B10" s="39" t="s">
        <v>13</v>
      </c>
      <c r="C10" s="40"/>
      <c r="D10" s="14">
        <v>2000</v>
      </c>
    </row>
    <row r="11" spans="2:4" ht="16.5" x14ac:dyDescent="0.25">
      <c r="B11" s="39" t="s">
        <v>14</v>
      </c>
      <c r="C11" s="40"/>
      <c r="D11" s="15">
        <v>0.01</v>
      </c>
    </row>
    <row r="12" spans="2:4" ht="17.25" thickBot="1" x14ac:dyDescent="0.3">
      <c r="B12" s="41" t="s">
        <v>33</v>
      </c>
      <c r="C12" s="42"/>
      <c r="D12" s="16">
        <f>D10*30%</f>
        <v>600</v>
      </c>
    </row>
    <row r="13" spans="2:4" ht="15.75" thickBot="1" x14ac:dyDescent="0.3"/>
    <row r="14" spans="2:4" ht="30.75" x14ac:dyDescent="0.25">
      <c r="B14" s="43" t="s">
        <v>4</v>
      </c>
      <c r="C14" s="44"/>
      <c r="D14" s="45"/>
    </row>
    <row r="15" spans="2:4" ht="16.5" customHeight="1" x14ac:dyDescent="0.25">
      <c r="B15" s="46" t="s">
        <v>0</v>
      </c>
      <c r="C15" s="47"/>
      <c r="D15" s="8">
        <v>1260</v>
      </c>
    </row>
    <row r="16" spans="2:4" ht="15.75" x14ac:dyDescent="0.25">
      <c r="B16" s="46" t="s">
        <v>1</v>
      </c>
      <c r="C16" s="47"/>
      <c r="D16" s="3">
        <v>10</v>
      </c>
    </row>
    <row r="17" spans="1:4" ht="15.75" x14ac:dyDescent="0.25">
      <c r="B17" s="46" t="s">
        <v>2</v>
      </c>
      <c r="C17" s="47"/>
      <c r="D17" s="4">
        <v>1.0789999999999999E-2</v>
      </c>
    </row>
    <row r="18" spans="1:4" ht="15.75" x14ac:dyDescent="0.25">
      <c r="B18" s="48" t="s">
        <v>5</v>
      </c>
      <c r="C18" s="49"/>
      <c r="D18" s="5">
        <f>FV(taxa_mensal,qtd_anos*12,aporte*-1)</f>
        <v>306538.10778801696</v>
      </c>
    </row>
    <row r="19" spans="1:4" ht="16.5" thickBot="1" x14ac:dyDescent="0.3">
      <c r="B19" s="50" t="s">
        <v>3</v>
      </c>
      <c r="C19" s="51"/>
      <c r="D19" s="6">
        <f>patrimonio*1%</f>
        <v>3065.3810778801699</v>
      </c>
    </row>
    <row r="20" spans="1:4" ht="15.75" thickBot="1" x14ac:dyDescent="0.3"/>
    <row r="21" spans="1:4" ht="30.75" x14ac:dyDescent="0.25">
      <c r="B21" s="31" t="s">
        <v>11</v>
      </c>
      <c r="C21" s="32" t="s">
        <v>34</v>
      </c>
      <c r="D21" s="33" t="s">
        <v>15</v>
      </c>
    </row>
    <row r="22" spans="1:4" ht="15.75" x14ac:dyDescent="0.25">
      <c r="A22" s="1">
        <v>2</v>
      </c>
      <c r="B22" s="12" t="s">
        <v>6</v>
      </c>
      <c r="C22" s="7">
        <f>FV($D$17,A$22*12,$D$15*-1)</f>
        <v>34306.810395032975</v>
      </c>
      <c r="D22" s="9">
        <f>C22*redimento_carteira</f>
        <v>343.06810395032977</v>
      </c>
    </row>
    <row r="23" spans="1:4" ht="15.75" x14ac:dyDescent="0.25">
      <c r="A23" s="1">
        <v>5</v>
      </c>
      <c r="B23" s="12" t="s">
        <v>7</v>
      </c>
      <c r="C23" s="7">
        <f>FV($D$17,A$23*12,$D$15*-1)</f>
        <v>105558.91163809443</v>
      </c>
      <c r="D23" s="9">
        <f>C23*redimento_carteira</f>
        <v>1055.5891163809442</v>
      </c>
    </row>
    <row r="24" spans="1:4" ht="15.75" x14ac:dyDescent="0.25">
      <c r="A24" s="1">
        <v>10</v>
      </c>
      <c r="B24" s="12" t="s">
        <v>8</v>
      </c>
      <c r="C24" s="7">
        <f>FV($D$17,A$24*12,$D$15*-1)</f>
        <v>306538.10778801696</v>
      </c>
      <c r="D24" s="9">
        <f>C24*redimento_carteira</f>
        <v>3065.3810778801699</v>
      </c>
    </row>
    <row r="25" spans="1:4" ht="15.75" x14ac:dyDescent="0.25">
      <c r="A25" s="1">
        <v>20</v>
      </c>
      <c r="B25" s="12" t="s">
        <v>9</v>
      </c>
      <c r="C25" s="7">
        <f>FV($D$17,A$25*12,$D$15*-1)</f>
        <v>1417749.9841223215</v>
      </c>
      <c r="D25" s="9">
        <f>C25*redimento_carteira</f>
        <v>14177.499841223214</v>
      </c>
    </row>
    <row r="26" spans="1:4" ht="16.5" thickBot="1" x14ac:dyDescent="0.3">
      <c r="A26" s="1">
        <v>30</v>
      </c>
      <c r="B26" s="13" t="s">
        <v>10</v>
      </c>
      <c r="C26" s="10">
        <f>FV($D$17,A$26*12,$D$15*-1)</f>
        <v>5445933.7653059401</v>
      </c>
      <c r="D26" s="11">
        <f>C26*redimento_carteira</f>
        <v>54459.337653059403</v>
      </c>
    </row>
    <row r="28" spans="1:4" x14ac:dyDescent="0.25">
      <c r="B28" s="18" t="s">
        <v>19</v>
      </c>
      <c r="C28" s="34" t="s">
        <v>17</v>
      </c>
      <c r="D28" s="34"/>
    </row>
    <row r="29" spans="1:4" ht="15.75" x14ac:dyDescent="0.25">
      <c r="B29" s="17" t="s">
        <v>18</v>
      </c>
      <c r="C29" s="35">
        <f>sugestao_investimento</f>
        <v>600</v>
      </c>
      <c r="D29" s="35"/>
    </row>
    <row r="31" spans="1:4" x14ac:dyDescent="0.25">
      <c r="B31" s="29" t="s">
        <v>20</v>
      </c>
      <c r="C31" s="22" t="s">
        <v>21</v>
      </c>
      <c r="D31" s="22" t="s">
        <v>22</v>
      </c>
    </row>
    <row r="32" spans="1:4" x14ac:dyDescent="0.25">
      <c r="B32" s="30" t="s">
        <v>23</v>
      </c>
      <c r="C32" s="20">
        <f>VLOOKUP($C$28&amp;"-"&amp;B32,Planilha2!$A:$D,4,FALSE)</f>
        <v>0.5</v>
      </c>
      <c r="D32" s="21">
        <f t="shared" ref="D32:D37" si="0">C32*$C$29</f>
        <v>300</v>
      </c>
    </row>
    <row r="33" spans="2:4" x14ac:dyDescent="0.25">
      <c r="B33" s="30" t="s">
        <v>24</v>
      </c>
      <c r="C33" s="20">
        <f>VLOOKUP($C$28&amp;"-"&amp;B33,Planilha2!$A:$D,4,FALSE)</f>
        <v>0.1</v>
      </c>
      <c r="D33" s="21">
        <f t="shared" si="0"/>
        <v>60</v>
      </c>
    </row>
    <row r="34" spans="2:4" x14ac:dyDescent="0.25">
      <c r="B34" s="30" t="s">
        <v>25</v>
      </c>
      <c r="C34" s="20">
        <f>VLOOKUP($C$28&amp;"-"&amp;B34,Planilha2!$A:$D,4,FALSE)</f>
        <v>0.05</v>
      </c>
      <c r="D34" s="21">
        <f t="shared" si="0"/>
        <v>30</v>
      </c>
    </row>
    <row r="35" spans="2:4" x14ac:dyDescent="0.25">
      <c r="B35" s="30" t="s">
        <v>26</v>
      </c>
      <c r="C35" s="20">
        <f>VLOOKUP($C$28&amp;"-"&amp;B35,Planilha2!$A:$D,4,FALSE)</f>
        <v>0.05</v>
      </c>
      <c r="D35" s="21">
        <f t="shared" si="0"/>
        <v>30</v>
      </c>
    </row>
    <row r="36" spans="2:4" x14ac:dyDescent="0.25">
      <c r="B36" s="30" t="s">
        <v>27</v>
      </c>
      <c r="C36" s="20">
        <f>VLOOKUP($C$28&amp;"-"&amp;B36,Planilha2!$A:$D,4,FALSE)</f>
        <v>0.2</v>
      </c>
      <c r="D36" s="21">
        <f t="shared" si="0"/>
        <v>120</v>
      </c>
    </row>
    <row r="37" spans="2:4" x14ac:dyDescent="0.25">
      <c r="B37" s="30" t="s">
        <v>28</v>
      </c>
      <c r="C37" s="20">
        <f>VLOOKUP($C$28&amp;"-"&amp;B37,Planilha2!$A:$D,4,FALSE)</f>
        <v>0.1</v>
      </c>
      <c r="D37" s="21">
        <f t="shared" si="0"/>
        <v>60</v>
      </c>
    </row>
    <row r="38" spans="2:4" x14ac:dyDescent="0.25">
      <c r="B38" s="2"/>
      <c r="C38" s="2"/>
      <c r="D38" s="23">
        <f>SUM(D32:D37)</f>
        <v>600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</sheetData>
  <mergeCells count="12">
    <mergeCell ref="C28:D28"/>
    <mergeCell ref="C29:D29"/>
    <mergeCell ref="B9:D9"/>
    <mergeCell ref="B10:C10"/>
    <mergeCell ref="B11:C11"/>
    <mergeCell ref="B12:C12"/>
    <mergeCell ref="B14:D14"/>
    <mergeCell ref="B15:C15"/>
    <mergeCell ref="B17:C17"/>
    <mergeCell ref="B18:C18"/>
    <mergeCell ref="B19:C19"/>
    <mergeCell ref="B16:C16"/>
  </mergeCells>
  <dataValidations count="1">
    <dataValidation type="list" allowBlank="1" showInputMessage="1" showErrorMessage="1" sqref="C28" xr:uid="{219B6040-14A5-4DF1-A220-69AC57CCD820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49BE-D3E5-49E5-B961-A6322752B640}">
  <dimension ref="A2:H20"/>
  <sheetViews>
    <sheetView workbookViewId="0">
      <selection activeCell="G17" sqref="G17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7" max="7" width="17" bestFit="1" customWidth="1"/>
  </cols>
  <sheetData>
    <row r="2" spans="1:8" x14ac:dyDescent="0.25">
      <c r="A2" s="2" t="s">
        <v>30</v>
      </c>
      <c r="B2" s="24" t="s">
        <v>19</v>
      </c>
      <c r="C2" s="22" t="s">
        <v>20</v>
      </c>
      <c r="D2" s="22" t="s">
        <v>29</v>
      </c>
    </row>
    <row r="3" spans="1:8" x14ac:dyDescent="0.25">
      <c r="A3" t="str">
        <f t="shared" ref="A3:A8" si="0">B3&amp;"-"&amp;C3</f>
        <v>Conservador-PAPEL</v>
      </c>
      <c r="B3" t="s">
        <v>16</v>
      </c>
      <c r="C3" t="s">
        <v>23</v>
      </c>
      <c r="D3" s="20">
        <v>0.3</v>
      </c>
      <c r="H3" t="s">
        <v>29</v>
      </c>
    </row>
    <row r="4" spans="1:8" x14ac:dyDescent="0.25">
      <c r="A4" t="str">
        <f t="shared" si="0"/>
        <v>Conservador-TIJOLO</v>
      </c>
      <c r="B4" t="s">
        <v>16</v>
      </c>
      <c r="C4" t="s">
        <v>24</v>
      </c>
      <c r="D4" s="20">
        <v>0.5</v>
      </c>
      <c r="G4" s="19" t="s">
        <v>32</v>
      </c>
      <c r="H4" s="28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t="s">
        <v>25</v>
      </c>
      <c r="D5" s="20">
        <v>0.1</v>
      </c>
    </row>
    <row r="6" spans="1:8" x14ac:dyDescent="0.25">
      <c r="A6" t="str">
        <f t="shared" si="0"/>
        <v>Conservador-FOFs</v>
      </c>
      <c r="B6" t="s">
        <v>16</v>
      </c>
      <c r="C6" t="s">
        <v>26</v>
      </c>
      <c r="D6" s="20">
        <v>0.1</v>
      </c>
    </row>
    <row r="7" spans="1:8" x14ac:dyDescent="0.25">
      <c r="A7" t="str">
        <f t="shared" si="0"/>
        <v>Conservador-DESENVOLVIMENTO</v>
      </c>
      <c r="B7" t="s">
        <v>16</v>
      </c>
      <c r="C7" t="s">
        <v>27</v>
      </c>
      <c r="D7" s="20">
        <v>0</v>
      </c>
    </row>
    <row r="8" spans="1:8" x14ac:dyDescent="0.25">
      <c r="A8" s="25" t="str">
        <f t="shared" si="0"/>
        <v>Conservador-HOTELARIAS</v>
      </c>
      <c r="B8" t="s">
        <v>16</v>
      </c>
      <c r="C8" s="25" t="s">
        <v>28</v>
      </c>
      <c r="D8" s="27">
        <v>0</v>
      </c>
    </row>
    <row r="9" spans="1:8" x14ac:dyDescent="0.25">
      <c r="A9" s="26" t="str">
        <f t="shared" ref="A9:A20" si="1">B9&amp;"-"&amp;C9</f>
        <v>Moderado-PAPEL</v>
      </c>
      <c r="B9" t="s">
        <v>31</v>
      </c>
      <c r="C9" t="s">
        <v>23</v>
      </c>
      <c r="D9" s="20">
        <v>0.32</v>
      </c>
    </row>
    <row r="10" spans="1:8" x14ac:dyDescent="0.25">
      <c r="A10" s="26" t="str">
        <f t="shared" si="1"/>
        <v>Moderado-TIJOLO</v>
      </c>
      <c r="B10" t="s">
        <v>31</v>
      </c>
      <c r="C10" t="s">
        <v>24</v>
      </c>
      <c r="D10" s="20">
        <v>0.35</v>
      </c>
    </row>
    <row r="11" spans="1:8" x14ac:dyDescent="0.25">
      <c r="A11" s="26" t="str">
        <f t="shared" si="1"/>
        <v>Moderado-HÍBRIDOS</v>
      </c>
      <c r="B11" t="s">
        <v>31</v>
      </c>
      <c r="C11" t="s">
        <v>25</v>
      </c>
      <c r="D11" s="20">
        <v>0.08</v>
      </c>
    </row>
    <row r="12" spans="1:8" x14ac:dyDescent="0.25">
      <c r="A12" s="26" t="str">
        <f t="shared" si="1"/>
        <v>Moderado-FOFs</v>
      </c>
      <c r="B12" t="s">
        <v>31</v>
      </c>
      <c r="C12" t="s">
        <v>26</v>
      </c>
      <c r="D12" s="20">
        <v>0.05</v>
      </c>
    </row>
    <row r="13" spans="1:8" x14ac:dyDescent="0.25">
      <c r="A13" s="26" t="str">
        <f t="shared" si="1"/>
        <v>Moderado-DESENVOLVIMENTO</v>
      </c>
      <c r="B13" t="s">
        <v>31</v>
      </c>
      <c r="C13" t="s">
        <v>27</v>
      </c>
      <c r="D13" s="20">
        <v>0.1</v>
      </c>
    </row>
    <row r="14" spans="1:8" x14ac:dyDescent="0.25">
      <c r="A14" s="25" t="str">
        <f t="shared" si="1"/>
        <v>Moderado-HOTELARIAS</v>
      </c>
      <c r="B14" s="25" t="s">
        <v>31</v>
      </c>
      <c r="C14" s="25" t="s">
        <v>28</v>
      </c>
      <c r="D14" s="27">
        <v>0.1</v>
      </c>
    </row>
    <row r="15" spans="1:8" x14ac:dyDescent="0.25">
      <c r="A15" s="26" t="str">
        <f t="shared" si="1"/>
        <v>Agressivo-PAPEL</v>
      </c>
      <c r="B15" t="s">
        <v>17</v>
      </c>
      <c r="C15" t="s">
        <v>23</v>
      </c>
      <c r="D15" s="20">
        <v>0.5</v>
      </c>
    </row>
    <row r="16" spans="1:8" x14ac:dyDescent="0.25">
      <c r="A16" s="26" t="str">
        <f t="shared" si="1"/>
        <v>Agressivo-TIJOLO</v>
      </c>
      <c r="B16" t="s">
        <v>17</v>
      </c>
      <c r="C16" t="s">
        <v>24</v>
      </c>
      <c r="D16" s="20">
        <v>0.1</v>
      </c>
    </row>
    <row r="17" spans="1:4" x14ac:dyDescent="0.25">
      <c r="A17" s="26" t="str">
        <f t="shared" si="1"/>
        <v>Agressivo-HÍBRIDOS</v>
      </c>
      <c r="B17" t="s">
        <v>17</v>
      </c>
      <c r="C17" t="s">
        <v>25</v>
      </c>
      <c r="D17" s="20">
        <v>0.05</v>
      </c>
    </row>
    <row r="18" spans="1:4" x14ac:dyDescent="0.25">
      <c r="A18" s="26" t="str">
        <f t="shared" si="1"/>
        <v>Agressivo-FOFs</v>
      </c>
      <c r="B18" t="s">
        <v>17</v>
      </c>
      <c r="C18" t="s">
        <v>26</v>
      </c>
      <c r="D18" s="20">
        <v>0.05</v>
      </c>
    </row>
    <row r="19" spans="1:4" x14ac:dyDescent="0.25">
      <c r="A19" s="26" t="str">
        <f t="shared" si="1"/>
        <v>Agressivo-DESENVOLVIMENTO</v>
      </c>
      <c r="B19" t="s">
        <v>17</v>
      </c>
      <c r="C19" t="s">
        <v>27</v>
      </c>
      <c r="D19" s="20">
        <v>0.2</v>
      </c>
    </row>
    <row r="20" spans="1:4" x14ac:dyDescent="0.25">
      <c r="A20" s="26" t="str">
        <f t="shared" si="1"/>
        <v>Agressivo-HOTELARIAS</v>
      </c>
      <c r="B20" t="s">
        <v>17</v>
      </c>
      <c r="C20" t="s">
        <v>28</v>
      </c>
      <c r="D20" s="20">
        <v>0.1</v>
      </c>
    </row>
  </sheetData>
  <dataValidations count="1">
    <dataValidation type="list" allowBlank="1" showInputMessage="1" showErrorMessage="1" sqref="B3:B8" xr:uid="{1DB7841B-F717-429C-AE92-82EED920CDB7}">
      <formula1>"Conservador, Moderado, Agressivo"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Souza</dc:creator>
  <cp:lastModifiedBy>Marcelo Souza</cp:lastModifiedBy>
  <dcterms:created xsi:type="dcterms:W3CDTF">2026-01-06T17:26:13Z</dcterms:created>
  <dcterms:modified xsi:type="dcterms:W3CDTF">2026-01-07T19:26:09Z</dcterms:modified>
</cp:coreProperties>
</file>